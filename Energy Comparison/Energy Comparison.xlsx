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vawosiji_stanford_edu/Documents/2-My PhD/Slides and Individual projects/Energy Comparison/"/>
    </mc:Choice>
  </mc:AlternateContent>
  <xr:revisionPtr revIDLastSave="241" documentId="11_0B1D56BE9CDCCE836B02CE7A5FB0D4A9BBFD1C62" xr6:coauthVersionLast="47" xr6:coauthVersionMax="47" xr10:uidLastSave="{62B9B748-C6D9-9A40-98E9-09F9C0598871}"/>
  <bookViews>
    <workbookView xWindow="40" yWindow="500" windowWidth="28800" windowHeight="17500" xr2:uid="{00000000-000D-0000-FFFF-FFFF00000000}"/>
  </bookViews>
  <sheets>
    <sheet name="Sheet1" sheetId="1" r:id="rId1"/>
  </sheets>
  <definedNames>
    <definedName name="_xlchart.v1.0" hidden="1">Sheet1!$P$16:$R$16</definedName>
    <definedName name="_xlchart.v1.1" hidden="1">Sheet1!$P$17:$R$17</definedName>
    <definedName name="_xlchart.v1.2" hidden="1">Sheet1!$P$16:$R$16</definedName>
    <definedName name="_xlchart.v1.3" hidden="1">Sheet1!$P$17:$R$17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Q19" i="1"/>
  <c r="R17" i="1"/>
  <c r="Q17" i="1"/>
  <c r="H14" i="1"/>
  <c r="H12" i="1"/>
  <c r="D13" i="1"/>
  <c r="D12" i="1"/>
  <c r="M13" i="1"/>
  <c r="M12" i="1"/>
  <c r="M11" i="1"/>
  <c r="N4" i="1"/>
  <c r="N3" i="1"/>
  <c r="K5" i="1"/>
  <c r="H15" i="1"/>
  <c r="H11" i="1"/>
  <c r="J5" i="1"/>
  <c r="I5" i="1"/>
</calcChain>
</file>

<file path=xl/sharedStrings.xml><?xml version="1.0" encoding="utf-8"?>
<sst xmlns="http://schemas.openxmlformats.org/spreadsheetml/2006/main" count="48" uniqueCount="43">
  <si>
    <t>Natural Gas</t>
  </si>
  <si>
    <t>mean case</t>
  </si>
  <si>
    <t>Volumetric</t>
  </si>
  <si>
    <t>Natural Gas(Tcf)</t>
  </si>
  <si>
    <t>Natural Hydrogen(Mt)</t>
  </si>
  <si>
    <t>facts</t>
  </si>
  <si>
    <t>Calculate energy in BTU</t>
  </si>
  <si>
    <t>1 ct.ft = 1036 BTU</t>
  </si>
  <si>
    <t>1 BTU = 1055 Joules</t>
  </si>
  <si>
    <t>BTU</t>
  </si>
  <si>
    <t>Joules</t>
  </si>
  <si>
    <t>Nat. Gas</t>
  </si>
  <si>
    <t>Energy content per Mt ton H2</t>
  </si>
  <si>
    <t>Natural Gas (Joules)</t>
  </si>
  <si>
    <t>Natural Hydrogen (Joules)</t>
  </si>
  <si>
    <t>141.8 MJ/kg</t>
  </si>
  <si>
    <t>GJ/Metric ton</t>
  </si>
  <si>
    <t xml:space="preserve">GJ </t>
  </si>
  <si>
    <t>Mean case</t>
  </si>
  <si>
    <t>GJ</t>
  </si>
  <si>
    <t>Energy Ratio</t>
  </si>
  <si>
    <t>Mean Case</t>
  </si>
  <si>
    <t>Summary of Results</t>
  </si>
  <si>
    <t>Resource</t>
  </si>
  <si>
    <t>Energy (Joules)</t>
  </si>
  <si>
    <t>Ratio vs. Natural Gas</t>
  </si>
  <si>
    <t xml:space="preserve">Mean-case Hydrogen </t>
  </si>
  <si>
    <t>1.00 (Baseline)</t>
  </si>
  <si>
    <t>10.01 x lower than natural gas</t>
  </si>
  <si>
    <t>1.22 x more than natural gas</t>
  </si>
  <si>
    <t>probable case</t>
  </si>
  <si>
    <t>Probable Case</t>
  </si>
  <si>
    <t>Probable- Case Hydrogen</t>
  </si>
  <si>
    <t xml:space="preserve">Natural Gas </t>
  </si>
  <si>
    <t>Mean-case Hydrogen</t>
  </si>
  <si>
    <t>Probable-case Hydrogen</t>
  </si>
  <si>
    <t>Energy Content (Joules)</t>
  </si>
  <si>
    <t xml:space="preserve">Global Energy comparison: Natural Gas vs Natural Hydrogen </t>
  </si>
  <si>
    <t xml:space="preserve">Demand today </t>
  </si>
  <si>
    <t>Hydrogen demand</t>
  </si>
  <si>
    <t>Probable-case</t>
  </si>
  <si>
    <t>Mean-case</t>
  </si>
  <si>
    <t>Global Natural Hydrogen Estimates vs Current Hydrogen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</si>
</sst>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1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4" borderId="0" xfId="0" applyFill="1"/>
    <xf numFmtId="0" fontId="1" fillId="0" borderId="6" xfId="0" applyFont="1" applyBorder="1"/>
    <xf numFmtId="0" fontId="1" fillId="0" borderId="1" xfId="0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9335F"/>
      <color rgb="FF041B7E"/>
      <color rgb="FF05A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Sheet1!$I$1</c:f>
          <c:strCache>
            <c:ptCount val="1"/>
            <c:pt idx="0">
              <c:v>Global Energy comparison: Natural Gas vs Natural Hydrogen </c:v>
            </c:pt>
          </c:strCache>
        </c:strRef>
      </c:tx>
      <c:layout>
        <c:manualLayout>
          <c:xMode val="edge"/>
          <c:yMode val="edge"/>
          <c:x val="5.5986099050164662E-2"/>
          <c:y val="1.0321099985452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30-3D42-A093-DB2FBF81D395}"/>
              </c:ext>
            </c:extLst>
          </c:dPt>
          <c:dPt>
            <c:idx val="1"/>
            <c:invertIfNegative val="0"/>
            <c:bubble3D val="0"/>
            <c:spPr>
              <a:solidFill>
                <a:srgbClr val="05AA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30-3D42-A093-DB2FBF81D395}"/>
              </c:ext>
            </c:extLst>
          </c:dPt>
          <c:dPt>
            <c:idx val="2"/>
            <c:invertIfNegative val="0"/>
            <c:bubble3D val="0"/>
            <c:spPr>
              <a:solidFill>
                <a:srgbClr val="041B7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30-3D42-A093-DB2FBF81D395}"/>
              </c:ext>
            </c:extLst>
          </c:dPt>
          <c:cat>
            <c:strRef>
              <c:f>Sheet1!$I$4:$K$4</c:f>
              <c:strCache>
                <c:ptCount val="3"/>
                <c:pt idx="0">
                  <c:v>Natural Gas </c:v>
                </c:pt>
                <c:pt idx="1">
                  <c:v>Probable-case Hydrogen</c:v>
                </c:pt>
                <c:pt idx="2">
                  <c:v>Mean-case Hydrogen</c:v>
                </c:pt>
              </c:strCache>
            </c:strRef>
          </c:cat>
          <c:val>
            <c:numRef>
              <c:f>Sheet1!$I$5:$K$5</c:f>
              <c:numCache>
                <c:formatCode>General</c:formatCode>
                <c:ptCount val="3"/>
                <c:pt idx="0">
                  <c:v>7.9512327636E+18</c:v>
                </c:pt>
                <c:pt idx="1">
                  <c:v>7.9408000000000013E+17</c:v>
                </c:pt>
                <c:pt idx="2">
                  <c:v>9.6424E+18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0-3D42-A093-DB2FBF81D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overlap val="-27"/>
        <c:axId val="1344411856"/>
        <c:axId val="1922082528"/>
      </c:barChart>
      <c:catAx>
        <c:axId val="13444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2082528"/>
        <c:crosses val="autoZero"/>
        <c:auto val="1"/>
        <c:lblAlgn val="ctr"/>
        <c:lblOffset val="100"/>
        <c:noMultiLvlLbl val="0"/>
      </c:catAx>
      <c:valAx>
        <c:axId val="19220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Sheet1!$L$21</c:f>
              <c:strCache>
                <c:ptCount val="1"/>
                <c:pt idx="0">
                  <c:v>Energy Content (Joules)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441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Sheet1!$P$21</c:f>
          <c:strCache>
            <c:ptCount val="1"/>
            <c:pt idx="0">
              <c:v>Global Natural Hydrogen Estimates vs Current Hydrogen Demand</c:v>
            </c:pt>
          </c:strCache>
        </c:strRef>
      </c:tx>
      <c:layout>
        <c:manualLayout>
          <c:xMode val="edge"/>
          <c:yMode val="edge"/>
          <c:x val="0.15897899514697414"/>
          <c:y val="3.921568627450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72-6043-A5A5-7A3D2737800B}"/>
              </c:ext>
            </c:extLst>
          </c:dPt>
          <c:dPt>
            <c:idx val="1"/>
            <c:invertIfNegative val="0"/>
            <c:bubble3D val="0"/>
            <c:spPr>
              <a:solidFill>
                <a:srgbClr val="05AAFC"/>
              </a:solidFill>
              <a:ln>
                <a:solidFill>
                  <a:srgbClr val="05AAFC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72-6043-A5A5-7A3D2737800B}"/>
              </c:ext>
            </c:extLst>
          </c:dPt>
          <c:dPt>
            <c:idx val="2"/>
            <c:invertIfNegative val="0"/>
            <c:bubble3D val="0"/>
            <c:spPr>
              <a:solidFill>
                <a:srgbClr val="041B7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72-6043-A5A5-7A3D2737800B}"/>
              </c:ext>
            </c:extLst>
          </c:dPt>
          <c:cat>
            <c:strRef>
              <c:f>Sheet1!$P$16:$R$16</c:f>
              <c:strCache>
                <c:ptCount val="3"/>
                <c:pt idx="0">
                  <c:v>Hydrogen demand</c:v>
                </c:pt>
                <c:pt idx="1">
                  <c:v>Probable-case</c:v>
                </c:pt>
                <c:pt idx="2">
                  <c:v>Mean-case</c:v>
                </c:pt>
              </c:strCache>
            </c:strRef>
          </c:cat>
          <c:val>
            <c:numRef>
              <c:f>Sheet1!$P$17:$R$17</c:f>
              <c:numCache>
                <c:formatCode>General</c:formatCode>
                <c:ptCount val="3"/>
                <c:pt idx="0">
                  <c:v>97</c:v>
                </c:pt>
                <c:pt idx="1">
                  <c:v>5600000</c:v>
                </c:pt>
                <c:pt idx="2">
                  <c:v>68000000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2-6043-A5A5-7A3D27378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1912448"/>
        <c:axId val="1531099600"/>
      </c:barChart>
      <c:catAx>
        <c:axId val="153191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1099600"/>
        <c:crosses val="autoZero"/>
        <c:auto val="1"/>
        <c:lblAlgn val="ctr"/>
        <c:lblOffset val="100"/>
        <c:noMultiLvlLbl val="0"/>
      </c:catAx>
      <c:valAx>
        <c:axId val="15310996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Metric Ton (MT)</a:t>
                </a:r>
              </a:p>
            </c:rich>
          </c:tx>
          <c:layout>
            <c:manualLayout>
              <c:xMode val="edge"/>
              <c:yMode val="edge"/>
              <c:x val="0.43715054848913115"/>
              <c:y val="0.92431372549019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279398</xdr:colOff>
      <xdr:row>16</xdr:row>
      <xdr:rowOff>67731</xdr:rowOff>
    </xdr:from>
    <xdr:to>
      <xdr:col>9</xdr:col>
      <xdr:colOff>338665</xdr:colOff>
      <xdr:row>35</xdr:row>
      <xdr:rowOff>59265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9926A-5573-333D-ACF0-A96D07563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819150</xdr:colOff>
      <xdr:row>30</xdr:row>
      <xdr:rowOff>31750</xdr:rowOff>
    </xdr:from>
    <xdr:to>
      <xdr:col>14</xdr:col>
      <xdr:colOff>127000</xdr:colOff>
      <xdr:row>52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B8A719-525C-0D40-EAFA-3D50E3602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D2" zoomScaleNormal="100" workbookViewId="0">
      <selection activeCell="S13" sqref="S13"/>
    </sheetView>
  </sheetViews>
  <sheetFormatPr baseColWidth="10" defaultColWidth="8.83203125" defaultRowHeight="15" x14ac:dyDescent="0.2"/>
  <cols>
    <col min="4" max="4" width="14.1640625" customWidth="1"/>
    <col min="5" max="5" width="11.6640625" customWidth="1"/>
    <col min="6" max="6" width="11.33203125" customWidth="1"/>
    <col min="7" max="7" width="10" customWidth="1"/>
    <col min="8" max="8" width="13.83203125" customWidth="1"/>
    <col min="9" max="9" width="16" customWidth="1"/>
    <col min="10" max="10" width="11.1640625" bestFit="1" customWidth="1"/>
    <col min="11" max="11" width="11.5" customWidth="1"/>
    <col min="12" max="12" width="20.83203125" customWidth="1"/>
    <col min="13" max="13" width="13.1640625" customWidth="1"/>
    <col min="14" max="14" width="24.1640625" customWidth="1"/>
    <col min="16" max="16" width="15.5" customWidth="1"/>
    <col min="17" max="17" width="11" customWidth="1"/>
    <col min="18" max="18" width="12.6640625" customWidth="1"/>
  </cols>
  <sheetData>
    <row r="1" spans="1:18" x14ac:dyDescent="0.2">
      <c r="D1" s="5" t="s">
        <v>2</v>
      </c>
      <c r="I1" s="5" t="s">
        <v>37</v>
      </c>
      <c r="M1" s="14" t="s">
        <v>20</v>
      </c>
      <c r="N1" s="14"/>
    </row>
    <row r="3" spans="1:18" ht="16" thickBot="1" x14ac:dyDescent="0.25">
      <c r="D3" s="1" t="s">
        <v>3</v>
      </c>
      <c r="E3" s="15" t="s">
        <v>4</v>
      </c>
      <c r="F3" s="15"/>
      <c r="I3" s="1" t="s">
        <v>13</v>
      </c>
      <c r="J3" s="15" t="s">
        <v>14</v>
      </c>
      <c r="K3" s="15"/>
      <c r="M3" s="1" t="s">
        <v>31</v>
      </c>
      <c r="N3">
        <f>I5/J5</f>
        <v>10.013138177009871</v>
      </c>
    </row>
    <row r="4" spans="1:18" ht="16" thickBot="1" x14ac:dyDescent="0.25">
      <c r="D4" s="2"/>
      <c r="E4" s="2" t="s">
        <v>30</v>
      </c>
      <c r="F4" s="2" t="s">
        <v>1</v>
      </c>
      <c r="I4" s="2" t="s">
        <v>33</v>
      </c>
      <c r="J4" s="2" t="s">
        <v>35</v>
      </c>
      <c r="K4" s="2" t="s">
        <v>34</v>
      </c>
      <c r="M4" s="6" t="s">
        <v>21</v>
      </c>
      <c r="N4">
        <f>I5/K5</f>
        <v>0.82461137928316597</v>
      </c>
    </row>
    <row r="5" spans="1:18" x14ac:dyDescent="0.2">
      <c r="C5" s="3" t="s">
        <v>5</v>
      </c>
      <c r="D5">
        <v>7274820000000</v>
      </c>
      <c r="E5">
        <v>5600000</v>
      </c>
      <c r="F5">
        <v>68000000</v>
      </c>
      <c r="I5">
        <f>D13</f>
        <v>7.9512327636E+18</v>
      </c>
      <c r="J5">
        <f>H12</f>
        <v>7.9408000000000013E+17</v>
      </c>
      <c r="K5">
        <f>H15</f>
        <v>9.6424E+18</v>
      </c>
    </row>
    <row r="7" spans="1:18" x14ac:dyDescent="0.2">
      <c r="H7" t="s">
        <v>38</v>
      </c>
      <c r="J7">
        <v>97000000</v>
      </c>
    </row>
    <row r="9" spans="1:18" ht="16" thickBot="1" x14ac:dyDescent="0.25">
      <c r="A9" s="16" t="s">
        <v>7</v>
      </c>
      <c r="B9" s="16"/>
      <c r="G9" s="17" t="s">
        <v>12</v>
      </c>
      <c r="H9" s="17"/>
      <c r="L9" s="13" t="s">
        <v>22</v>
      </c>
    </row>
    <row r="10" spans="1:18" x14ac:dyDescent="0.2">
      <c r="A10" s="16" t="s">
        <v>8</v>
      </c>
      <c r="B10" s="16"/>
      <c r="G10" t="s">
        <v>15</v>
      </c>
      <c r="H10">
        <v>141.80000000000001</v>
      </c>
      <c r="I10" t="s">
        <v>16</v>
      </c>
      <c r="L10" s="12" t="s">
        <v>23</v>
      </c>
      <c r="M10" s="8" t="s">
        <v>24</v>
      </c>
      <c r="N10" s="8" t="s">
        <v>25</v>
      </c>
    </row>
    <row r="11" spans="1:18" x14ac:dyDescent="0.2">
      <c r="D11" t="s">
        <v>6</v>
      </c>
      <c r="F11" s="4" t="s">
        <v>30</v>
      </c>
      <c r="H11">
        <f>H10*E5</f>
        <v>794080000.00000012</v>
      </c>
      <c r="I11" t="s">
        <v>17</v>
      </c>
      <c r="L11" s="8" t="s">
        <v>0</v>
      </c>
      <c r="M11" s="9">
        <f>I5</f>
        <v>7.9512327636E+18</v>
      </c>
      <c r="N11" s="10" t="s">
        <v>27</v>
      </c>
      <c r="O11" s="7"/>
    </row>
    <row r="12" spans="1:18" x14ac:dyDescent="0.2">
      <c r="C12" t="s">
        <v>9</v>
      </c>
      <c r="D12">
        <f>D5*1036</f>
        <v>7536713520000000</v>
      </c>
      <c r="H12" s="11">
        <f>H11*1000000000</f>
        <v>7.9408000000000013E+17</v>
      </c>
      <c r="I12" s="11" t="s">
        <v>10</v>
      </c>
      <c r="L12" s="8" t="s">
        <v>32</v>
      </c>
      <c r="M12" s="9">
        <f>J5</f>
        <v>7.9408000000000013E+17</v>
      </c>
      <c r="N12" s="10" t="s">
        <v>28</v>
      </c>
      <c r="O12" s="7"/>
    </row>
    <row r="13" spans="1:18" x14ac:dyDescent="0.2">
      <c r="B13" t="s">
        <v>11</v>
      </c>
      <c r="C13" s="11" t="s">
        <v>10</v>
      </c>
      <c r="D13" s="11">
        <f>D12*1055</f>
        <v>7.9512327636E+18</v>
      </c>
      <c r="F13" t="s">
        <v>18</v>
      </c>
      <c r="G13" t="s">
        <v>15</v>
      </c>
      <c r="H13">
        <v>141.80000000000001</v>
      </c>
      <c r="I13" t="s">
        <v>16</v>
      </c>
      <c r="L13" s="8" t="s">
        <v>26</v>
      </c>
      <c r="M13" s="9">
        <f>K5</f>
        <v>9.6424E+18</v>
      </c>
      <c r="N13" s="10" t="s">
        <v>29</v>
      </c>
      <c r="O13" s="7"/>
    </row>
    <row r="14" spans="1:18" x14ac:dyDescent="0.2">
      <c r="H14">
        <f>H13*F5</f>
        <v>9642400000</v>
      </c>
      <c r="I14" t="s">
        <v>19</v>
      </c>
    </row>
    <row r="15" spans="1:18" x14ac:dyDescent="0.2">
      <c r="H15" s="11">
        <f>H14*1000000000</f>
        <v>9.6424E+18</v>
      </c>
      <c r="I15" s="11" t="s">
        <v>10</v>
      </c>
    </row>
    <row r="16" spans="1:18" x14ac:dyDescent="0.2">
      <c r="P16" t="s">
        <v>39</v>
      </c>
      <c r="Q16" t="s">
        <v>40</v>
      </c>
      <c r="R16" t="s">
        <v>41</v>
      </c>
    </row>
    <row r="17" spans="12:18" x14ac:dyDescent="0.2">
      <c r="P17">
        <v>97</v>
      </c>
      <c r="Q17">
        <f>E5</f>
        <v>5600000</v>
      </c>
      <c r="R17">
        <f>F5</f>
        <v>68000000</v>
      </c>
    </row>
    <row r="19" spans="12:18" x14ac:dyDescent="0.2">
      <c r="Q19">
        <f>Q17/P17</f>
        <v>57731.958762886599</v>
      </c>
      <c r="R19">
        <f>R17/P17</f>
        <v>701030.92783505155</v>
      </c>
    </row>
    <row r="21" spans="12:18" x14ac:dyDescent="0.2">
      <c r="L21" t="s">
        <v>36</v>
      </c>
      <c r="P21" t="s">
        <v>42</v>
      </c>
    </row>
  </sheetData>
  <mergeCells count="6">
    <mergeCell ref="M1:N1"/>
    <mergeCell ref="E3:F3"/>
    <mergeCell ref="J3:K3"/>
    <mergeCell ref="A9:B9"/>
    <mergeCell ref="A10:B10"/>
    <mergeCell ref="G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Awosiji</cp:lastModifiedBy>
  <cp:revision/>
  <dcterms:created xsi:type="dcterms:W3CDTF">2025-02-20T15:03:06Z</dcterms:created>
  <dcterms:modified xsi:type="dcterms:W3CDTF">2025-02-26T22:22:48Z</dcterms:modified>
  <cp:category/>
  <cp:contentStatus/>
</cp:coreProperties>
</file>